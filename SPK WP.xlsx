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601A0680-3FC8-4F2E-8946-6AA40ABF7CE7}" xr6:coauthVersionLast="47" xr6:coauthVersionMax="47" xr10:uidLastSave="{00000000-0000-0000-0000-000000000000}"/>
  <bookViews>
    <workbookView xWindow="-108" yWindow="-108" windowWidth="23256" windowHeight="12456" xr2:uid="{65E01C5F-2004-46A3-BA6F-325F3629C4EF}"/>
  </bookViews>
  <sheets>
    <sheet name="Dataset" sheetId="1" r:id="rId1"/>
    <sheet name="Keterangan" sheetId="2" r:id="rId2"/>
    <sheet name="perhitungan perpangkata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Q5" i="1"/>
</calcChain>
</file>

<file path=xl/sharedStrings.xml><?xml version="1.0" encoding="utf-8"?>
<sst xmlns="http://schemas.openxmlformats.org/spreadsheetml/2006/main" count="128" uniqueCount="88">
  <si>
    <t>No</t>
  </si>
  <si>
    <t>Harga (C1)</t>
  </si>
  <si>
    <t>Skor CPU (C2)</t>
  </si>
  <si>
    <t>RAM (C3)</t>
  </si>
  <si>
    <t>SSD (C4)</t>
  </si>
  <si>
    <t>Baterai (C5)</t>
  </si>
  <si>
    <t>Bobot (C6)</t>
  </si>
  <si>
    <t>Acer Swift Go 14</t>
  </si>
  <si>
    <t>11.500.000</t>
  </si>
  <si>
    <t>Lenovo Ideapad Slim 5i</t>
  </si>
  <si>
    <t>12.999.000</t>
  </si>
  <si>
    <t>Asus Zenbook 14 OLED</t>
  </si>
  <si>
    <t>16.499.000</t>
  </si>
  <si>
    <t>Dell Inspiron 13</t>
  </si>
  <si>
    <t>10.999.000</t>
  </si>
  <si>
    <t>HP Pavilion Plus 14</t>
  </si>
  <si>
    <t>13.500.000</t>
  </si>
  <si>
    <t>MSI Modern 14</t>
  </si>
  <si>
    <t>9.800.000</t>
  </si>
  <si>
    <t>Axioo Pongo 7</t>
  </si>
  <si>
    <t>15.250.000</t>
  </si>
  <si>
    <t>Lenovo Yoga Slim 7 Pro</t>
  </si>
  <si>
    <t>18.999.000</t>
  </si>
  <si>
    <t>Macbook Air M2</t>
  </si>
  <si>
    <t>17.500.000</t>
  </si>
  <si>
    <t>Acer Aspire 5</t>
  </si>
  <si>
    <t>8.900.000</t>
  </si>
  <si>
    <t>Asus Vivobook Pro 14</t>
  </si>
  <si>
    <t>14.800.000</t>
  </si>
  <si>
    <t>HP Envy x360</t>
  </si>
  <si>
    <t>16.200.000</t>
  </si>
  <si>
    <t>Samsung Galaxy Book3</t>
  </si>
  <si>
    <t>13.999.000</t>
  </si>
  <si>
    <t>Dell XPS 13</t>
  </si>
  <si>
    <t>22.500.000</t>
  </si>
  <si>
    <t>Lenovo ThinkPad E14</t>
  </si>
  <si>
    <t>14.100.000</t>
  </si>
  <si>
    <t>Huawei Matebook D14</t>
  </si>
  <si>
    <t>10.500.000</t>
  </si>
  <si>
    <t>Advan WorkPro</t>
  </si>
  <si>
    <t>7.999.000</t>
  </si>
  <si>
    <t>Asus TUF Gaming F15</t>
  </si>
  <si>
    <t>15.999.000</t>
  </si>
  <si>
    <t>Lenovo Legion 5</t>
  </si>
  <si>
    <t>19.500.000</t>
  </si>
  <si>
    <t>Zyrex Sky 232</t>
  </si>
  <si>
    <t>6.500.000</t>
  </si>
  <si>
    <t xml:space="preserve">Nama Laptop </t>
  </si>
  <si>
    <t>KRITERIA</t>
  </si>
  <si>
    <t>Harga</t>
  </si>
  <si>
    <t>Skor CPU</t>
  </si>
  <si>
    <t>RAM</t>
  </si>
  <si>
    <t>SSD</t>
  </si>
  <si>
    <t>Baterai</t>
  </si>
  <si>
    <t>Bobot</t>
  </si>
  <si>
    <t>Tipe</t>
  </si>
  <si>
    <t>Cost</t>
  </si>
  <si>
    <t>Benefit</t>
  </si>
  <si>
    <t>Bobot Awal (W)</t>
  </si>
  <si>
    <t>Bobot WP (Fix)</t>
  </si>
  <si>
    <t>Nama Laptop</t>
  </si>
  <si>
    <t>C1</t>
  </si>
  <si>
    <t>C2</t>
  </si>
  <si>
    <t>C3</t>
  </si>
  <si>
    <t>C4</t>
  </si>
  <si>
    <t>C5</t>
  </si>
  <si>
    <t>Kode</t>
  </si>
  <si>
    <t>Nama Kriteria</t>
  </si>
  <si>
    <t>Deskripsi</t>
  </si>
  <si>
    <t>Tipe Atribut</t>
  </si>
  <si>
    <t>Harga laptop dalam Rupiah (IDR).</t>
  </si>
  <si>
    <t>Skor CPU (PassMark)</t>
  </si>
  <si>
    <t>Skor benchmark performa prosesor untuk tugas berat seperti kompilasi kode.</t>
  </si>
  <si>
    <t>Kapasitas RAM</t>
  </si>
  <si>
    <t>Ukuran RAM dalam Gigabyte (GB) yang penting untuk multitasking aplikasi development.</t>
  </si>
  <si>
    <t>Kapasitas Penyimpanan (SSD)</t>
  </si>
  <si>
    <t>Ukuran media penyimpanan data SSD dalam Gigabyte (GB).</t>
  </si>
  <si>
    <t>Daya Tahan Baterai</t>
  </si>
  <si>
    <t>Estimasi daya tahan baterai dalam satuan Jam untuk penggunaan normal.</t>
  </si>
  <si>
    <t>C6</t>
  </si>
  <si>
    <t>Bobot Laptop</t>
  </si>
  <si>
    <t>Berat fisik laptop dalam Kilogram (Kg) yang mempengaruhi portabilitas.</t>
  </si>
  <si>
    <t>C1 (Harga)^-0.30</t>
  </si>
  <si>
    <t>C2 (CPU)^0.25</t>
  </si>
  <si>
    <t>C3 (RAM)^0.15</t>
  </si>
  <si>
    <t>C4 (SSD)^0.10</t>
  </si>
  <si>
    <t>C5 (Baterai)^0.10</t>
  </si>
  <si>
    <t>C6 (Bobot)^-0.10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</si>
</sst>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2" borderId="0" xfId="1"/>
    <xf numFmtId="0" fontId="5" fillId="6" borderId="0" xfId="5" applyAlignment="1">
      <alignment horizontal="center" vertical="center" wrapText="1"/>
    </xf>
    <xf numFmtId="0" fontId="1" fillId="8" borderId="0" xfId="7" applyAlignment="1">
      <alignment vertical="center" wrapText="1"/>
    </xf>
    <xf numFmtId="0" fontId="1" fillId="7" borderId="0" xfId="6" applyAlignment="1">
      <alignment vertical="center" wrapText="1"/>
    </xf>
    <xf numFmtId="0" fontId="1" fillId="5" borderId="0" xfId="4"/>
    <xf numFmtId="0" fontId="1" fillId="4" borderId="0" xfId="3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3" borderId="1" xfId="2" applyBorder="1" applyAlignment="1">
      <alignment vertical="center" wrapText="1"/>
    </xf>
    <xf numFmtId="0" fontId="3" fillId="3" borderId="1" xfId="2" applyBorder="1"/>
    <xf numFmtId="0" fontId="3" fillId="3" borderId="3" xfId="2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3" borderId="5" xfId="2" applyBorder="1" applyAlignment="1">
      <alignment vertical="center" wrapText="1"/>
    </xf>
    <xf numFmtId="0" fontId="0" fillId="0" borderId="0" xfId="0" applyBorder="1"/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9" borderId="1" xfId="0" applyFont="1" applyFill="1" applyBorder="1" applyAlignment="1">
      <alignment horizontal="center" vertical="top"/>
    </xf>
  </cellXfs>
  <cellStyles count="8">
    <cellStyle name="20% - Accent1" xfId="3" builtinId="30"/>
    <cellStyle name="20% - Accent5" xfId="6" builtinId="46"/>
    <cellStyle name="40% - Accent5" xfId="7" builtinId="47"/>
    <cellStyle name="60% - Accent1" xfId="4" builtinId="32"/>
    <cellStyle name="Accent5" xfId="5" builtinId="45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382A-F243-4864-8ED5-BAB86F60FC39}">
  <dimension ref="A1:S27"/>
  <sheetViews>
    <sheetView tabSelected="1" topLeftCell="C1" zoomScale="94" workbookViewId="0">
      <selection activeCell="L15" sqref="L15"/>
    </sheetView>
  </sheetViews>
  <sheetFormatPr defaultRowHeight="14.4" x14ac:dyDescent="0.3"/>
  <cols>
    <col min="2" max="2" width="48.33203125" customWidth="1"/>
    <col min="3" max="3" width="16.109375" customWidth="1"/>
    <col min="4" max="4" width="11.5546875" customWidth="1"/>
    <col min="5" max="5" width="13.33203125" customWidth="1"/>
    <col min="6" max="6" width="15" customWidth="1"/>
    <col min="7" max="7" width="12.6640625" customWidth="1"/>
    <col min="8" max="8" width="12.33203125" customWidth="1"/>
    <col min="11" max="11" width="20.109375" customWidth="1"/>
    <col min="12" max="12" width="16.109375" customWidth="1"/>
    <col min="13" max="13" width="13" customWidth="1"/>
  </cols>
  <sheetData>
    <row r="1" spans="1:19" ht="28.8" x14ac:dyDescent="0.3">
      <c r="A1" s="14" t="s">
        <v>0</v>
      </c>
      <c r="B1" s="16" t="s">
        <v>47</v>
      </c>
      <c r="C1" s="14" t="s">
        <v>1</v>
      </c>
      <c r="D1" s="14" t="s">
        <v>2</v>
      </c>
      <c r="E1" s="14" t="s">
        <v>3</v>
      </c>
      <c r="F1" s="15" t="s">
        <v>4</v>
      </c>
      <c r="G1" s="14" t="s">
        <v>5</v>
      </c>
      <c r="H1" s="20" t="s">
        <v>6</v>
      </c>
      <c r="I1" s="21"/>
      <c r="J1" s="1"/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  <c r="Q1" s="6" t="s">
        <v>54</v>
      </c>
    </row>
    <row r="2" spans="1:19" x14ac:dyDescent="0.3">
      <c r="A2" s="19">
        <v>1</v>
      </c>
      <c r="B2" s="17" t="s">
        <v>7</v>
      </c>
      <c r="C2" s="13" t="s">
        <v>8</v>
      </c>
      <c r="D2" s="13">
        <v>17500</v>
      </c>
      <c r="E2" s="13">
        <v>16</v>
      </c>
      <c r="F2" s="13">
        <v>512</v>
      </c>
      <c r="G2" s="13">
        <v>10</v>
      </c>
      <c r="H2" s="13">
        <v>1.25</v>
      </c>
      <c r="J2" s="1"/>
      <c r="K2" s="7" t="s">
        <v>55</v>
      </c>
      <c r="L2" s="7" t="s">
        <v>56</v>
      </c>
      <c r="M2" s="7" t="s">
        <v>57</v>
      </c>
      <c r="N2" s="7" t="s">
        <v>57</v>
      </c>
      <c r="O2" s="7" t="s">
        <v>57</v>
      </c>
      <c r="P2" s="7" t="s">
        <v>57</v>
      </c>
      <c r="Q2" s="7" t="s">
        <v>56</v>
      </c>
    </row>
    <row r="3" spans="1:19" x14ac:dyDescent="0.3">
      <c r="A3" s="19">
        <v>2</v>
      </c>
      <c r="B3" s="18" t="s">
        <v>9</v>
      </c>
      <c r="C3" s="12" t="s">
        <v>10</v>
      </c>
      <c r="D3" s="12">
        <v>18100</v>
      </c>
      <c r="E3" s="12">
        <v>16</v>
      </c>
      <c r="F3" s="12">
        <v>512</v>
      </c>
      <c r="G3" s="12">
        <v>9</v>
      </c>
      <c r="H3" s="12">
        <v>1.4</v>
      </c>
      <c r="J3" s="1"/>
      <c r="K3" s="8" t="s">
        <v>58</v>
      </c>
      <c r="L3" s="8">
        <v>0.3</v>
      </c>
      <c r="M3" s="8">
        <v>0.25</v>
      </c>
      <c r="N3" s="8">
        <v>0.15</v>
      </c>
      <c r="O3" s="8">
        <v>0.1</v>
      </c>
      <c r="P3" s="8">
        <v>0.1</v>
      </c>
      <c r="Q3" s="8">
        <v>0.1</v>
      </c>
    </row>
    <row r="4" spans="1:19" x14ac:dyDescent="0.3">
      <c r="A4" s="19">
        <v>3</v>
      </c>
      <c r="B4" s="18" t="s">
        <v>11</v>
      </c>
      <c r="C4" s="12" t="s">
        <v>12</v>
      </c>
      <c r="D4" s="12">
        <v>20500</v>
      </c>
      <c r="E4" s="12">
        <v>16</v>
      </c>
      <c r="F4" s="12">
        <v>1024</v>
      </c>
      <c r="G4" s="12">
        <v>12</v>
      </c>
      <c r="H4" s="12">
        <v>1.3</v>
      </c>
      <c r="J4" s="1"/>
      <c r="K4" s="8" t="s">
        <v>59</v>
      </c>
      <c r="L4" s="8">
        <v>-0.3</v>
      </c>
      <c r="M4" s="8">
        <v>0.25</v>
      </c>
      <c r="N4" s="8">
        <v>0.15</v>
      </c>
      <c r="O4" s="8">
        <v>0.1</v>
      </c>
      <c r="P4" s="8">
        <v>0.1</v>
      </c>
      <c r="Q4" s="8">
        <v>-0.1</v>
      </c>
    </row>
    <row r="5" spans="1:19" x14ac:dyDescent="0.3">
      <c r="A5" s="19">
        <v>4</v>
      </c>
      <c r="B5" s="18" t="s">
        <v>13</v>
      </c>
      <c r="C5" s="12" t="s">
        <v>14</v>
      </c>
      <c r="D5" s="12">
        <v>16900</v>
      </c>
      <c r="E5" s="12">
        <v>8</v>
      </c>
      <c r="F5" s="12">
        <v>512</v>
      </c>
      <c r="G5" s="12">
        <v>8</v>
      </c>
      <c r="H5" s="12">
        <v>1.28</v>
      </c>
      <c r="J5" s="1"/>
      <c r="K5" s="1"/>
      <c r="M5" s="1"/>
      <c r="N5" s="1"/>
      <c r="O5" s="1"/>
      <c r="P5" s="1"/>
      <c r="Q5" s="5">
        <f>IF(L2="Cost", -L3, L3)</f>
        <v>-0.3</v>
      </c>
      <c r="S5" s="9">
        <f>PRODUCT(M7^$L$4, N7^$M$4, O7^$N$4, P7^$O$4, Q7^$P$4, R7^$Q$4)</f>
        <v>0.30507326655351907</v>
      </c>
    </row>
    <row r="6" spans="1:19" x14ac:dyDescent="0.3">
      <c r="A6" s="19">
        <v>5</v>
      </c>
      <c r="B6" s="18" t="s">
        <v>15</v>
      </c>
      <c r="C6" s="12" t="s">
        <v>16</v>
      </c>
      <c r="D6" s="12">
        <v>18500</v>
      </c>
      <c r="E6" s="12">
        <v>16</v>
      </c>
      <c r="F6" s="12">
        <v>512</v>
      </c>
      <c r="G6" s="12">
        <v>8</v>
      </c>
      <c r="H6" s="12">
        <v>1.35</v>
      </c>
      <c r="J6" s="1"/>
      <c r="K6" s="1" t="s">
        <v>0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</row>
    <row r="7" spans="1:19" x14ac:dyDescent="0.3">
      <c r="A7" s="19">
        <v>6</v>
      </c>
      <c r="B7" s="18" t="s">
        <v>17</v>
      </c>
      <c r="C7" s="12" t="s">
        <v>18</v>
      </c>
      <c r="D7" s="12">
        <v>15500</v>
      </c>
      <c r="E7" s="12">
        <v>8</v>
      </c>
      <c r="F7" s="12">
        <v>512</v>
      </c>
      <c r="G7" s="12">
        <v>7</v>
      </c>
      <c r="H7" s="12">
        <v>1.4</v>
      </c>
      <c r="J7" s="1"/>
      <c r="K7" s="2">
        <v>1</v>
      </c>
      <c r="L7" s="1" t="s">
        <v>7</v>
      </c>
      <c r="M7" s="2">
        <v>11500000</v>
      </c>
      <c r="N7" s="2">
        <v>17500</v>
      </c>
      <c r="O7" s="2">
        <v>16</v>
      </c>
      <c r="P7" s="2">
        <v>512</v>
      </c>
      <c r="Q7" s="2">
        <v>10</v>
      </c>
      <c r="R7" s="10">
        <v>1.25</v>
      </c>
    </row>
    <row r="8" spans="1:19" x14ac:dyDescent="0.3">
      <c r="A8" s="19">
        <v>7</v>
      </c>
      <c r="B8" s="18" t="s">
        <v>19</v>
      </c>
      <c r="C8" s="12" t="s">
        <v>20</v>
      </c>
      <c r="D8" s="12">
        <v>22500</v>
      </c>
      <c r="E8" s="12">
        <v>16</v>
      </c>
      <c r="F8" s="12">
        <v>512</v>
      </c>
      <c r="G8" s="12">
        <v>6</v>
      </c>
      <c r="H8" s="12">
        <v>1.7</v>
      </c>
      <c r="J8" s="1"/>
      <c r="K8" s="2"/>
      <c r="L8" s="4"/>
      <c r="M8" s="1"/>
      <c r="N8" s="1"/>
      <c r="O8" s="1"/>
      <c r="P8" s="1"/>
      <c r="Q8" s="1"/>
    </row>
    <row r="9" spans="1:19" x14ac:dyDescent="0.3">
      <c r="A9" s="19">
        <v>8</v>
      </c>
      <c r="B9" s="18" t="s">
        <v>21</v>
      </c>
      <c r="C9" s="12" t="s">
        <v>22</v>
      </c>
      <c r="D9" s="12">
        <v>24000</v>
      </c>
      <c r="E9" s="12">
        <v>16</v>
      </c>
      <c r="F9" s="12">
        <v>1024</v>
      </c>
      <c r="G9" s="12">
        <v>11</v>
      </c>
      <c r="H9" s="12">
        <v>1.38</v>
      </c>
      <c r="J9" s="3"/>
      <c r="K9" s="1"/>
      <c r="L9" s="1"/>
      <c r="M9" s="1"/>
      <c r="N9" s="1"/>
      <c r="O9" s="1"/>
      <c r="P9" s="1"/>
      <c r="Q9" s="1"/>
    </row>
    <row r="10" spans="1:19" x14ac:dyDescent="0.3">
      <c r="A10" s="19">
        <v>9</v>
      </c>
      <c r="B10" s="18" t="s">
        <v>23</v>
      </c>
      <c r="C10" s="12" t="s">
        <v>24</v>
      </c>
      <c r="D10" s="12">
        <v>19500</v>
      </c>
      <c r="E10" s="12">
        <v>8</v>
      </c>
      <c r="F10" s="12">
        <v>256</v>
      </c>
      <c r="G10" s="12">
        <v>15</v>
      </c>
      <c r="H10" s="12">
        <v>1.24</v>
      </c>
    </row>
    <row r="11" spans="1:19" x14ac:dyDescent="0.3">
      <c r="A11" s="19">
        <v>10</v>
      </c>
      <c r="B11" s="18" t="s">
        <v>25</v>
      </c>
      <c r="C11" s="12" t="s">
        <v>26</v>
      </c>
      <c r="D11" s="12">
        <v>14800</v>
      </c>
      <c r="E11" s="12">
        <v>8</v>
      </c>
      <c r="F11" s="12">
        <v>512</v>
      </c>
      <c r="G11" s="12">
        <v>7</v>
      </c>
      <c r="H11" s="12">
        <v>1.5</v>
      </c>
    </row>
    <row r="12" spans="1:19" x14ac:dyDescent="0.3">
      <c r="A12" s="19">
        <v>11</v>
      </c>
      <c r="B12" s="18" t="s">
        <v>27</v>
      </c>
      <c r="C12" s="12" t="s">
        <v>28</v>
      </c>
      <c r="D12" s="12">
        <v>21500</v>
      </c>
      <c r="E12" s="12">
        <v>16</v>
      </c>
      <c r="F12" s="12">
        <v>512</v>
      </c>
      <c r="G12" s="12">
        <v>9</v>
      </c>
      <c r="H12" s="12">
        <v>1.45</v>
      </c>
    </row>
    <row r="13" spans="1:19" x14ac:dyDescent="0.3">
      <c r="A13" s="19">
        <v>12</v>
      </c>
      <c r="B13" s="18" t="s">
        <v>29</v>
      </c>
      <c r="C13" s="12" t="s">
        <v>30</v>
      </c>
      <c r="D13" s="12">
        <v>20100</v>
      </c>
      <c r="E13" s="12">
        <v>16</v>
      </c>
      <c r="F13" s="12">
        <v>512</v>
      </c>
      <c r="G13" s="12">
        <v>10</v>
      </c>
      <c r="H13" s="12">
        <v>1.33</v>
      </c>
    </row>
    <row r="14" spans="1:19" x14ac:dyDescent="0.3">
      <c r="A14" s="19">
        <v>13</v>
      </c>
      <c r="B14" s="18" t="s">
        <v>31</v>
      </c>
      <c r="C14" s="12" t="s">
        <v>32</v>
      </c>
      <c r="D14" s="12">
        <v>18300</v>
      </c>
      <c r="E14" s="12">
        <v>16</v>
      </c>
      <c r="F14" s="12">
        <v>512</v>
      </c>
      <c r="G14" s="12">
        <v>11</v>
      </c>
      <c r="H14" s="12">
        <v>1.17</v>
      </c>
    </row>
    <row r="15" spans="1:19" x14ac:dyDescent="0.3">
      <c r="A15" s="19">
        <v>14</v>
      </c>
      <c r="B15" s="18" t="s">
        <v>33</v>
      </c>
      <c r="C15" s="12" t="s">
        <v>34</v>
      </c>
      <c r="D15" s="12">
        <v>25500</v>
      </c>
      <c r="E15" s="12">
        <v>16</v>
      </c>
      <c r="F15" s="12">
        <v>1024</v>
      </c>
      <c r="G15" s="12">
        <v>12</v>
      </c>
      <c r="H15" s="12">
        <v>1.1499999999999999</v>
      </c>
    </row>
    <row r="16" spans="1:19" x14ac:dyDescent="0.3">
      <c r="A16" s="19">
        <v>15</v>
      </c>
      <c r="B16" s="18" t="s">
        <v>35</v>
      </c>
      <c r="C16" s="12" t="s">
        <v>36</v>
      </c>
      <c r="D16" s="12">
        <v>19800</v>
      </c>
      <c r="E16" s="12">
        <v>16</v>
      </c>
      <c r="F16" s="12">
        <v>512</v>
      </c>
      <c r="G16" s="12">
        <v>9</v>
      </c>
      <c r="H16" s="12">
        <v>1.55</v>
      </c>
    </row>
    <row r="17" spans="1:8" x14ac:dyDescent="0.3">
      <c r="A17" s="19">
        <v>16</v>
      </c>
      <c r="B17" s="18" t="s">
        <v>37</v>
      </c>
      <c r="C17" s="12" t="s">
        <v>38</v>
      </c>
      <c r="D17" s="12">
        <v>16200</v>
      </c>
      <c r="E17" s="12">
        <v>16</v>
      </c>
      <c r="F17" s="12">
        <v>512</v>
      </c>
      <c r="G17" s="12">
        <v>10</v>
      </c>
      <c r="H17" s="12">
        <v>1.39</v>
      </c>
    </row>
    <row r="18" spans="1:8" x14ac:dyDescent="0.3">
      <c r="A18" s="19">
        <v>17</v>
      </c>
      <c r="B18" s="18" t="s">
        <v>39</v>
      </c>
      <c r="C18" s="12" t="s">
        <v>40</v>
      </c>
      <c r="D18" s="12">
        <v>14500</v>
      </c>
      <c r="E18" s="12">
        <v>8</v>
      </c>
      <c r="F18" s="12">
        <v>256</v>
      </c>
      <c r="G18" s="12">
        <v>6</v>
      </c>
      <c r="H18" s="12">
        <v>1.3</v>
      </c>
    </row>
    <row r="19" spans="1:8" x14ac:dyDescent="0.3">
      <c r="A19" s="19">
        <v>18</v>
      </c>
      <c r="B19" s="18" t="s">
        <v>41</v>
      </c>
      <c r="C19" s="12" t="s">
        <v>42</v>
      </c>
      <c r="D19" s="12">
        <v>23500</v>
      </c>
      <c r="E19" s="12">
        <v>8</v>
      </c>
      <c r="F19" s="12">
        <v>512</v>
      </c>
      <c r="G19" s="12">
        <v>6</v>
      </c>
      <c r="H19" s="12">
        <v>2.2000000000000002</v>
      </c>
    </row>
    <row r="20" spans="1:8" x14ac:dyDescent="0.3">
      <c r="A20" s="19">
        <v>19</v>
      </c>
      <c r="B20" s="18" t="s">
        <v>43</v>
      </c>
      <c r="C20" s="12" t="s">
        <v>44</v>
      </c>
      <c r="D20" s="12">
        <v>26000</v>
      </c>
      <c r="E20" s="12">
        <v>16</v>
      </c>
      <c r="F20" s="12">
        <v>512</v>
      </c>
      <c r="G20" s="12">
        <v>5</v>
      </c>
      <c r="H20" s="12">
        <v>2.4</v>
      </c>
    </row>
    <row r="21" spans="1:8" x14ac:dyDescent="0.3">
      <c r="A21" s="22">
        <v>20</v>
      </c>
      <c r="B21" s="18" t="s">
        <v>45</v>
      </c>
      <c r="C21" s="12" t="s">
        <v>46</v>
      </c>
      <c r="D21" s="12">
        <v>9500</v>
      </c>
      <c r="E21" s="12">
        <v>8</v>
      </c>
      <c r="F21" s="12">
        <v>256</v>
      </c>
      <c r="G21" s="12">
        <v>5</v>
      </c>
      <c r="H21" s="12">
        <v>1.35</v>
      </c>
    </row>
    <row r="22" spans="1:8" x14ac:dyDescent="0.3">
      <c r="A22" s="21"/>
    </row>
    <row r="23" spans="1:8" x14ac:dyDescent="0.3">
      <c r="A23" s="21"/>
    </row>
    <row r="27" spans="1:8" x14ac:dyDescent="0.3">
      <c r="B27" s="23"/>
    </row>
  </sheetData>
  <phoneticPr fontId="6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90DD-C5EF-4D88-ADB8-95DC656907C7}">
  <dimension ref="A1:D7"/>
  <sheetViews>
    <sheetView workbookViewId="0">
      <selection activeCell="D15" sqref="D15"/>
    </sheetView>
  </sheetViews>
  <sheetFormatPr defaultRowHeight="14.4" x14ac:dyDescent="0.3"/>
  <cols>
    <col min="2" max="2" width="21.5546875" customWidth="1"/>
    <col min="3" max="3" width="41.44140625" customWidth="1"/>
    <col min="4" max="4" width="32.88671875" customWidth="1"/>
  </cols>
  <sheetData>
    <row r="1" spans="1:4" ht="28.8" x14ac:dyDescent="0.3">
      <c r="A1" s="25" t="s">
        <v>66</v>
      </c>
      <c r="B1" s="25" t="s">
        <v>67</v>
      </c>
      <c r="C1" s="25" t="s">
        <v>68</v>
      </c>
      <c r="D1" s="25" t="s">
        <v>69</v>
      </c>
    </row>
    <row r="2" spans="1:4" ht="26.4" customHeight="1" x14ac:dyDescent="0.3">
      <c r="A2" s="24" t="s">
        <v>61</v>
      </c>
      <c r="B2" s="11" t="s">
        <v>49</v>
      </c>
      <c r="C2" s="11" t="s">
        <v>70</v>
      </c>
      <c r="D2" s="24" t="s">
        <v>56</v>
      </c>
    </row>
    <row r="3" spans="1:4" ht="30.6" customHeight="1" x14ac:dyDescent="0.3">
      <c r="A3" s="24" t="s">
        <v>62</v>
      </c>
      <c r="B3" s="11" t="s">
        <v>71</v>
      </c>
      <c r="C3" s="11" t="s">
        <v>72</v>
      </c>
      <c r="D3" s="24" t="s">
        <v>57</v>
      </c>
    </row>
    <row r="4" spans="1:4" ht="28.8" x14ac:dyDescent="0.3">
      <c r="A4" s="24" t="s">
        <v>63</v>
      </c>
      <c r="B4" s="11" t="s">
        <v>73</v>
      </c>
      <c r="C4" s="11" t="s">
        <v>74</v>
      </c>
      <c r="D4" s="24" t="s">
        <v>57</v>
      </c>
    </row>
    <row r="5" spans="1:4" ht="30" customHeight="1" x14ac:dyDescent="0.3">
      <c r="A5" s="24" t="s">
        <v>64</v>
      </c>
      <c r="B5" s="11" t="s">
        <v>75</v>
      </c>
      <c r="C5" s="11" t="s">
        <v>76</v>
      </c>
      <c r="D5" s="24" t="s">
        <v>57</v>
      </c>
    </row>
    <row r="6" spans="1:4" ht="30.6" customHeight="1" x14ac:dyDescent="0.3">
      <c r="A6" s="24" t="s">
        <v>65</v>
      </c>
      <c r="B6" s="11" t="s">
        <v>77</v>
      </c>
      <c r="C6" s="11" t="s">
        <v>78</v>
      </c>
      <c r="D6" s="24" t="s">
        <v>57</v>
      </c>
    </row>
    <row r="7" spans="1:4" ht="33.6" customHeight="1" x14ac:dyDescent="0.3">
      <c r="A7" s="24" t="s">
        <v>79</v>
      </c>
      <c r="B7" s="11" t="s">
        <v>80</v>
      </c>
      <c r="C7" s="11" t="s">
        <v>81</v>
      </c>
      <c r="D7" s="2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1913-0EA4-4EC7-8F5B-6BC8714980E4}">
  <dimension ref="A1:H21"/>
  <sheetViews>
    <sheetView workbookViewId="0">
      <selection activeCell="K23" sqref="K23"/>
    </sheetView>
  </sheetViews>
  <sheetFormatPr defaultRowHeight="14.4" x14ac:dyDescent="0.3"/>
  <cols>
    <col min="2" max="2" width="24" customWidth="1"/>
    <col min="3" max="3" width="19.109375" customWidth="1"/>
    <col min="4" max="4" width="17.21875" customWidth="1"/>
    <col min="5" max="5" width="16.109375" customWidth="1"/>
    <col min="6" max="6" width="17.88671875" customWidth="1"/>
    <col min="7" max="7" width="25.6640625" customWidth="1"/>
    <col min="8" max="8" width="22.44140625" customWidth="1"/>
  </cols>
  <sheetData>
    <row r="1" spans="1:8" ht="24.6" customHeight="1" x14ac:dyDescent="0.3">
      <c r="A1" s="27" t="s">
        <v>0</v>
      </c>
      <c r="B1" s="27" t="s">
        <v>60</v>
      </c>
      <c r="C1" s="27" t="s">
        <v>82</v>
      </c>
      <c r="D1" s="27" t="s">
        <v>83</v>
      </c>
      <c r="E1" s="27" t="s">
        <v>84</v>
      </c>
      <c r="F1" s="27" t="s">
        <v>85</v>
      </c>
      <c r="G1" s="27" t="s">
        <v>86</v>
      </c>
      <c r="H1" s="27" t="s">
        <v>87</v>
      </c>
    </row>
    <row r="2" spans="1:8" x14ac:dyDescent="0.3">
      <c r="A2" s="26">
        <v>1</v>
      </c>
      <c r="B2" s="26" t="s">
        <v>7</v>
      </c>
      <c r="C2" s="26">
        <v>1.5089999999999999E-3</v>
      </c>
      <c r="D2" s="26">
        <v>11.503</v>
      </c>
      <c r="E2" s="26">
        <v>1.516</v>
      </c>
      <c r="F2" s="26">
        <v>1.8660000000000001</v>
      </c>
      <c r="G2" s="26">
        <v>1.2589999999999999</v>
      </c>
      <c r="H2" s="26">
        <v>0.97799999999999998</v>
      </c>
    </row>
    <row r="3" spans="1:8" x14ac:dyDescent="0.3">
      <c r="A3" s="26">
        <v>2</v>
      </c>
      <c r="B3" s="26" t="s">
        <v>9</v>
      </c>
      <c r="C3" s="26">
        <v>1.438E-3</v>
      </c>
      <c r="D3" s="26">
        <v>11.601000000000001</v>
      </c>
      <c r="E3" s="26">
        <v>1.516</v>
      </c>
      <c r="F3" s="26">
        <v>1.8660000000000001</v>
      </c>
      <c r="G3" s="26">
        <v>1.246</v>
      </c>
      <c r="H3" s="26">
        <v>0.96699999999999997</v>
      </c>
    </row>
    <row r="4" spans="1:8" x14ac:dyDescent="0.3">
      <c r="A4" s="26">
        <v>3</v>
      </c>
      <c r="B4" s="26" t="s">
        <v>11</v>
      </c>
      <c r="C4" s="26">
        <v>1.3140000000000001E-3</v>
      </c>
      <c r="D4" s="26">
        <v>11.962999999999999</v>
      </c>
      <c r="E4" s="26">
        <v>1.516</v>
      </c>
      <c r="F4" s="26">
        <v>2</v>
      </c>
      <c r="G4" s="26">
        <v>1.282</v>
      </c>
      <c r="H4" s="26">
        <v>0.97299999999999998</v>
      </c>
    </row>
    <row r="5" spans="1:8" x14ac:dyDescent="0.3">
      <c r="A5" s="26">
        <v>4</v>
      </c>
      <c r="B5" s="26" t="s">
        <v>13</v>
      </c>
      <c r="C5" s="26">
        <v>1.5380000000000001E-3</v>
      </c>
      <c r="D5" s="26">
        <v>11.401</v>
      </c>
      <c r="E5" s="26">
        <v>1.34</v>
      </c>
      <c r="F5" s="26">
        <v>1.8660000000000001</v>
      </c>
      <c r="G5" s="26">
        <v>1.2310000000000001</v>
      </c>
      <c r="H5" s="26">
        <v>0.97499999999999998</v>
      </c>
    </row>
    <row r="6" spans="1:8" x14ac:dyDescent="0.3">
      <c r="A6" s="26">
        <v>5</v>
      </c>
      <c r="B6" s="26" t="s">
        <v>15</v>
      </c>
      <c r="C6" s="26">
        <v>1.4139999999999999E-3</v>
      </c>
      <c r="D6" s="26">
        <v>11.666</v>
      </c>
      <c r="E6" s="26">
        <v>1.516</v>
      </c>
      <c r="F6" s="26">
        <v>1.8660000000000001</v>
      </c>
      <c r="G6" s="26">
        <v>1.2310000000000001</v>
      </c>
      <c r="H6" s="26">
        <v>0.96899999999999997</v>
      </c>
    </row>
    <row r="7" spans="1:8" x14ac:dyDescent="0.3">
      <c r="A7" s="26">
        <v>6</v>
      </c>
      <c r="B7" s="26" t="s">
        <v>17</v>
      </c>
      <c r="C7" s="26">
        <v>1.5989999999999999E-3</v>
      </c>
      <c r="D7" s="26">
        <v>11.164</v>
      </c>
      <c r="E7" s="26">
        <v>1.34</v>
      </c>
      <c r="F7" s="26">
        <v>1.8660000000000001</v>
      </c>
      <c r="G7" s="26">
        <v>1.2150000000000001</v>
      </c>
      <c r="H7" s="26">
        <v>0.96699999999999997</v>
      </c>
    </row>
    <row r="8" spans="1:8" x14ac:dyDescent="0.3">
      <c r="A8" s="26">
        <v>7</v>
      </c>
      <c r="B8" s="26" t="s">
        <v>19</v>
      </c>
      <c r="C8" s="26">
        <v>1.351E-3</v>
      </c>
      <c r="D8" s="26">
        <v>12.241</v>
      </c>
      <c r="E8" s="26">
        <v>1.516</v>
      </c>
      <c r="F8" s="26">
        <v>1.8660000000000001</v>
      </c>
      <c r="G8" s="26">
        <v>1.196</v>
      </c>
      <c r="H8" s="26">
        <v>0.94899999999999995</v>
      </c>
    </row>
    <row r="9" spans="1:8" x14ac:dyDescent="0.3">
      <c r="A9" s="26">
        <v>8</v>
      </c>
      <c r="B9" s="26" t="s">
        <v>21</v>
      </c>
      <c r="C9" s="26">
        <v>1.2290000000000001E-3</v>
      </c>
      <c r="D9" s="26">
        <v>12.436</v>
      </c>
      <c r="E9" s="26">
        <v>1.516</v>
      </c>
      <c r="F9" s="26">
        <v>2</v>
      </c>
      <c r="G9" s="26">
        <v>1.2709999999999999</v>
      </c>
      <c r="H9" s="26">
        <v>0.96799999999999997</v>
      </c>
    </row>
    <row r="10" spans="1:8" x14ac:dyDescent="0.3">
      <c r="A10" s="26">
        <v>9</v>
      </c>
      <c r="B10" s="26" t="s">
        <v>23</v>
      </c>
      <c r="C10" s="26">
        <v>1.2780000000000001E-3</v>
      </c>
      <c r="D10" s="26">
        <v>11.815</v>
      </c>
      <c r="E10" s="26">
        <v>1.34</v>
      </c>
      <c r="F10" s="26">
        <v>1.7410000000000001</v>
      </c>
      <c r="G10" s="26">
        <v>1.31</v>
      </c>
      <c r="H10" s="26">
        <v>0.97899999999999998</v>
      </c>
    </row>
    <row r="11" spans="1:8" x14ac:dyDescent="0.3">
      <c r="A11" s="26">
        <v>10</v>
      </c>
      <c r="B11" s="26" t="s">
        <v>25</v>
      </c>
      <c r="C11" s="26">
        <v>1.6590000000000001E-3</v>
      </c>
      <c r="D11" s="26">
        <v>11.026</v>
      </c>
      <c r="E11" s="26">
        <v>1.34</v>
      </c>
      <c r="F11" s="26">
        <v>1.8660000000000001</v>
      </c>
      <c r="G11" s="26">
        <v>1.2150000000000001</v>
      </c>
      <c r="H11" s="26">
        <v>0.96</v>
      </c>
    </row>
    <row r="12" spans="1:8" x14ac:dyDescent="0.3">
      <c r="A12" s="26">
        <v>11</v>
      </c>
      <c r="B12" s="26" t="s">
        <v>27</v>
      </c>
      <c r="C12" s="26">
        <v>1.366E-3</v>
      </c>
      <c r="D12" s="26">
        <v>12.096</v>
      </c>
      <c r="E12" s="26">
        <v>1.516</v>
      </c>
      <c r="F12" s="26">
        <v>1.8660000000000001</v>
      </c>
      <c r="G12" s="26">
        <v>1.246</v>
      </c>
      <c r="H12" s="26">
        <v>0.96299999999999997</v>
      </c>
    </row>
    <row r="13" spans="1:8" x14ac:dyDescent="0.3">
      <c r="A13" s="26">
        <v>12</v>
      </c>
      <c r="B13" s="26" t="s">
        <v>29</v>
      </c>
      <c r="C13" s="26">
        <v>1.323E-3</v>
      </c>
      <c r="D13" s="26">
        <v>11.901999999999999</v>
      </c>
      <c r="E13" s="26">
        <v>1.516</v>
      </c>
      <c r="F13" s="26">
        <v>1.8660000000000001</v>
      </c>
      <c r="G13" s="26">
        <v>1.2589999999999999</v>
      </c>
      <c r="H13" s="26">
        <v>0.97099999999999997</v>
      </c>
    </row>
    <row r="14" spans="1:8" x14ac:dyDescent="0.3">
      <c r="A14" s="26">
        <v>13</v>
      </c>
      <c r="B14" s="26" t="s">
        <v>31</v>
      </c>
      <c r="C14" s="26">
        <v>1.395E-3</v>
      </c>
      <c r="D14" s="26">
        <v>11.635999999999999</v>
      </c>
      <c r="E14" s="26">
        <v>1.516</v>
      </c>
      <c r="F14" s="26">
        <v>1.8660000000000001</v>
      </c>
      <c r="G14" s="26">
        <v>1.2709999999999999</v>
      </c>
      <c r="H14" s="26">
        <v>0.98499999999999999</v>
      </c>
    </row>
    <row r="15" spans="1:8" x14ac:dyDescent="0.3">
      <c r="A15" s="26">
        <v>14</v>
      </c>
      <c r="B15" s="26" t="s">
        <v>33</v>
      </c>
      <c r="C15" s="26">
        <v>1.1490000000000001E-3</v>
      </c>
      <c r="D15" s="26">
        <v>12.638999999999999</v>
      </c>
      <c r="E15" s="26">
        <v>1.516</v>
      </c>
      <c r="F15" s="26">
        <v>2</v>
      </c>
      <c r="G15" s="26">
        <v>1.282</v>
      </c>
      <c r="H15" s="26">
        <v>0.98599999999999999</v>
      </c>
    </row>
    <row r="16" spans="1:8" x14ac:dyDescent="0.3">
      <c r="A16" s="26">
        <v>15</v>
      </c>
      <c r="B16" s="26" t="s">
        <v>35</v>
      </c>
      <c r="C16" s="26">
        <v>1.389E-3</v>
      </c>
      <c r="D16" s="26">
        <v>11.862</v>
      </c>
      <c r="E16" s="26">
        <v>1.516</v>
      </c>
      <c r="F16" s="26">
        <v>1.8660000000000001</v>
      </c>
      <c r="G16" s="26">
        <v>1.246</v>
      </c>
      <c r="H16" s="26">
        <v>0.95699999999999996</v>
      </c>
    </row>
    <row r="17" spans="1:8" x14ac:dyDescent="0.3">
      <c r="A17" s="26">
        <v>16</v>
      </c>
      <c r="B17" s="26" t="s">
        <v>37</v>
      </c>
      <c r="C17" s="26">
        <v>1.565E-3</v>
      </c>
      <c r="D17" s="26">
        <v>11.282</v>
      </c>
      <c r="E17" s="26">
        <v>1.516</v>
      </c>
      <c r="F17" s="26">
        <v>1.8660000000000001</v>
      </c>
      <c r="G17" s="26">
        <v>1.2589999999999999</v>
      </c>
      <c r="H17" s="26">
        <v>0.96699999999999997</v>
      </c>
    </row>
    <row r="18" spans="1:8" x14ac:dyDescent="0.3">
      <c r="A18" s="26">
        <v>17</v>
      </c>
      <c r="B18" s="26" t="s">
        <v>39</v>
      </c>
      <c r="C18" s="26">
        <v>1.7260000000000001E-3</v>
      </c>
      <c r="D18" s="26">
        <v>10.971</v>
      </c>
      <c r="E18" s="26">
        <v>1.34</v>
      </c>
      <c r="F18" s="26">
        <v>1.7410000000000001</v>
      </c>
      <c r="G18" s="26">
        <v>1.196</v>
      </c>
      <c r="H18" s="26">
        <v>0.97299999999999998</v>
      </c>
    </row>
    <row r="19" spans="1:8" x14ac:dyDescent="0.3">
      <c r="A19" s="26">
        <v>18</v>
      </c>
      <c r="B19" s="26" t="s">
        <v>41</v>
      </c>
      <c r="C19" s="26">
        <v>1.3309999999999999E-3</v>
      </c>
      <c r="D19" s="26">
        <v>12.372999999999999</v>
      </c>
      <c r="E19" s="26">
        <v>1.34</v>
      </c>
      <c r="F19" s="26">
        <v>1.8660000000000001</v>
      </c>
      <c r="G19" s="26">
        <v>1.196</v>
      </c>
      <c r="H19" s="26">
        <v>0.92500000000000004</v>
      </c>
    </row>
    <row r="20" spans="1:8" x14ac:dyDescent="0.3">
      <c r="A20" s="26">
        <v>19</v>
      </c>
      <c r="B20" s="26" t="s">
        <v>43</v>
      </c>
      <c r="C20" s="26">
        <v>1.2130000000000001E-3</v>
      </c>
      <c r="D20" s="26">
        <v>12.699</v>
      </c>
      <c r="E20" s="26">
        <v>1.516</v>
      </c>
      <c r="F20" s="26">
        <v>1.8660000000000001</v>
      </c>
      <c r="G20" s="26">
        <v>1.175</v>
      </c>
      <c r="H20" s="26">
        <v>0.91600000000000004</v>
      </c>
    </row>
    <row r="21" spans="1:8" x14ac:dyDescent="0.3">
      <c r="A21" s="26">
        <v>20</v>
      </c>
      <c r="B21" s="26" t="s">
        <v>45</v>
      </c>
      <c r="C21" s="26">
        <v>1.859E-3</v>
      </c>
      <c r="D21" s="26">
        <v>9.8719999999999999</v>
      </c>
      <c r="E21" s="26">
        <v>1.34</v>
      </c>
      <c r="F21" s="26">
        <v>1.7410000000000001</v>
      </c>
      <c r="G21" s="26">
        <v>1.175</v>
      </c>
      <c r="H21" s="26">
        <v>0.96899999999999997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Keterangan</vt:lpstr>
      <vt:lpstr>perhitungan perpangkatan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Tri M</dc:creator>
  <cp:lastModifiedBy>Dimas Tri M</cp:lastModifiedBy>
  <dcterms:created xsi:type="dcterms:W3CDTF">2025-10-09T00:56:29Z</dcterms:created>
  <dcterms:modified xsi:type="dcterms:W3CDTF">2025-10-09T05:09:00Z</dcterms:modified>
</cp:coreProperties>
</file>